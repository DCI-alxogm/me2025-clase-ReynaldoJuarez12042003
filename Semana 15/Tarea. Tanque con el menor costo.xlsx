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a\Downloads\"/>
    </mc:Choice>
  </mc:AlternateContent>
  <xr:revisionPtr revIDLastSave="0" documentId="13_ncr:1_{1038161E-90CE-4A7F-9D94-EFB6040F96F0}" xr6:coauthVersionLast="47" xr6:coauthVersionMax="47" xr10:uidLastSave="{00000000-0000-0000-0000-000000000000}"/>
  <bookViews>
    <workbookView xWindow="11424" yWindow="0" windowWidth="11712" windowHeight="12336" firstSheet="1" activeTab="1" xr2:uid="{B1FDED29-171A-4929-A162-BBED9AAC3D66}"/>
  </bookViews>
  <sheets>
    <sheet name="Resultado con valores iniciales" sheetId="1" r:id="rId1"/>
    <sheet name="Funcion minimizada" sheetId="2" r:id="rId2"/>
  </sheets>
  <definedNames>
    <definedName name="solver_adj" localSheetId="1" hidden="1">'Funcion minimizada'!$E$4:$E$5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'Funcion minimizada'!$E$10</definedName>
    <definedName name="solver_lhs1" localSheetId="0" hidden="1">'Resultado con valores iniciales'!$E$10</definedName>
    <definedName name="solver_lhs2" localSheetId="1" hidden="1">'Funcion minimizada'!$E$8</definedName>
    <definedName name="solver_lhs2" localSheetId="0" hidden="1">'Resultado con valores iniciales'!$E$8</definedName>
    <definedName name="solver_lhs3" localSheetId="1" hidden="1">'Funcion minimizada'!$E$9</definedName>
    <definedName name="solver_lhs3" localSheetId="0" hidden="1">'Resultado con valores iniciales'!$E$9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3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'Funcion minimizada'!$E$13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2</definedName>
    <definedName name="solver_rel1" localSheetId="0" hidden="1">2</definedName>
    <definedName name="solver_rel2" localSheetId="1" hidden="1">1</definedName>
    <definedName name="solver_rel2" localSheetId="0" hidden="1">1</definedName>
    <definedName name="solver_rel3" localSheetId="1" hidden="1">1</definedName>
    <definedName name="solver_rel3" localSheetId="0" hidden="1">1</definedName>
    <definedName name="solver_rhs1" localSheetId="1" hidden="1">'Funcion minimizada'!$G$10</definedName>
    <definedName name="solver_rhs1" localSheetId="0" hidden="1">'Resultado con valores iniciales'!$G$10</definedName>
    <definedName name="solver_rhs2" localSheetId="1" hidden="1">'Funcion minimizada'!$G$8</definedName>
    <definedName name="solver_rhs2" localSheetId="0" hidden="1">'Resultado con valores iniciales'!$G$8</definedName>
    <definedName name="solver_rhs3" localSheetId="1" hidden="1">'Funcion minimizada'!$G$9</definedName>
    <definedName name="solver_rhs3" localSheetId="0" hidden="1">'Resultado con valores iniciales'!$G$9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7" i="2"/>
  <c r="C16" i="2"/>
  <c r="C14" i="2"/>
  <c r="E9" i="2"/>
  <c r="E8" i="2"/>
  <c r="E10" i="2"/>
  <c r="E10" i="1"/>
  <c r="C17" i="1"/>
  <c r="C16" i="1"/>
  <c r="C14" i="1"/>
  <c r="C13" i="1"/>
  <c r="E13" i="1"/>
  <c r="E13" i="2" l="1"/>
</calcChain>
</file>

<file path=xl/sharedStrings.xml><?xml version="1.0" encoding="utf-8"?>
<sst xmlns="http://schemas.openxmlformats.org/spreadsheetml/2006/main" count="50" uniqueCount="22">
  <si>
    <t>Parámetros</t>
  </si>
  <si>
    <t>V0</t>
  </si>
  <si>
    <t>t</t>
  </si>
  <si>
    <t>Densidad</t>
  </si>
  <si>
    <t>Lmáx</t>
  </si>
  <si>
    <t>Dmáx</t>
  </si>
  <si>
    <t>cm</t>
  </si>
  <si>
    <t>cw</t>
  </si>
  <si>
    <t>Variables de diseño</t>
  </si>
  <si>
    <t>D</t>
  </si>
  <si>
    <t>L</t>
  </si>
  <si>
    <t>Restricciones</t>
  </si>
  <si>
    <t>Volumen</t>
  </si>
  <si>
    <t>Función objetivo</t>
  </si>
  <si>
    <t>Valores calculados</t>
  </si>
  <si>
    <t>m</t>
  </si>
  <si>
    <t>lw</t>
  </si>
  <si>
    <t>Vcoraza</t>
  </si>
  <si>
    <t>Vtapas</t>
  </si>
  <si>
    <t>&lt;=</t>
  </si>
  <si>
    <t>=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</si>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</sst>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58BA-9DD1-4932-8048-D844E90A53C0}">
  <dimension ref="A3:G17"/>
  <sheetViews>
    <sheetView zoomScale="98" workbookViewId="0">
      <selection activeCell="F17" sqref="F17"/>
    </sheetView>
  </sheetViews>
  <sheetFormatPr baseColWidth="10" defaultRowHeight="14.4" x14ac:dyDescent="0.3"/>
  <cols>
    <col min="1" max="1" width="16.88671875" customWidth="1"/>
    <col min="4" max="4" width="17" customWidth="1"/>
  </cols>
  <sheetData>
    <row r="3" spans="1:7" x14ac:dyDescent="0.3">
      <c r="A3" t="s">
        <v>0</v>
      </c>
      <c r="D3" t="s">
        <v>8</v>
      </c>
    </row>
    <row r="4" spans="1:7" x14ac:dyDescent="0.3">
      <c r="A4" t="s">
        <v>1</v>
      </c>
      <c r="B4">
        <v>0.8</v>
      </c>
      <c r="D4" t="s">
        <v>9</v>
      </c>
      <c r="E4">
        <v>1</v>
      </c>
    </row>
    <row r="5" spans="1:7" x14ac:dyDescent="0.3">
      <c r="A5" t="s">
        <v>2</v>
      </c>
      <c r="B5">
        <v>0.03</v>
      </c>
      <c r="D5" t="s">
        <v>10</v>
      </c>
      <c r="E5">
        <v>2</v>
      </c>
    </row>
    <row r="6" spans="1:7" x14ac:dyDescent="0.3">
      <c r="A6" t="s">
        <v>3</v>
      </c>
      <c r="B6">
        <v>8000</v>
      </c>
    </row>
    <row r="7" spans="1:7" x14ac:dyDescent="0.3">
      <c r="A7" t="s">
        <v>4</v>
      </c>
      <c r="B7">
        <v>2</v>
      </c>
      <c r="D7" t="s">
        <v>11</v>
      </c>
    </row>
    <row r="8" spans="1:7" x14ac:dyDescent="0.3">
      <c r="A8" t="s">
        <v>5</v>
      </c>
      <c r="B8">
        <v>1</v>
      </c>
      <c r="D8" t="s">
        <v>9</v>
      </c>
      <c r="E8">
        <v>0</v>
      </c>
      <c r="F8" t="s">
        <v>19</v>
      </c>
      <c r="G8">
        <v>1</v>
      </c>
    </row>
    <row r="9" spans="1:7" x14ac:dyDescent="0.3">
      <c r="A9" t="s">
        <v>6</v>
      </c>
      <c r="B9">
        <v>4.5</v>
      </c>
      <c r="D9" t="s">
        <v>10</v>
      </c>
      <c r="E9">
        <v>0</v>
      </c>
      <c r="F9" t="s">
        <v>19</v>
      </c>
      <c r="G9">
        <v>2</v>
      </c>
    </row>
    <row r="10" spans="1:7" x14ac:dyDescent="0.3">
      <c r="A10" t="s">
        <v>7</v>
      </c>
      <c r="B10">
        <v>20</v>
      </c>
      <c r="D10" t="s">
        <v>12</v>
      </c>
      <c r="E10">
        <f>(PI()*E4^2*E5)/4</f>
        <v>1.5707963267948966</v>
      </c>
      <c r="F10" t="s">
        <v>20</v>
      </c>
      <c r="G10">
        <v>0.8</v>
      </c>
    </row>
    <row r="12" spans="1:7" x14ac:dyDescent="0.3">
      <c r="A12" t="s">
        <v>14</v>
      </c>
      <c r="D12" t="s">
        <v>13</v>
      </c>
    </row>
    <row r="13" spans="1:7" x14ac:dyDescent="0.3">
      <c r="A13" t="s">
        <v>15</v>
      </c>
      <c r="C13">
        <f>((B7*PI())*((((B8/2)+B5)^2-(B8/2)^2))+((2*PI())*((B8/2)+B5)^2*(B5)))*(B6)</f>
        <v>1976.7906286036146</v>
      </c>
      <c r="D13" t="s">
        <v>21</v>
      </c>
      <c r="E13" s="1">
        <f>(B9*C13)+(B10*C14)</f>
        <v>9154.4250633720658</v>
      </c>
    </row>
    <row r="14" spans="1:7" x14ac:dyDescent="0.3">
      <c r="A14" t="s">
        <v>16</v>
      </c>
      <c r="C14">
        <f>(4*PI())*(B8+B5)</f>
        <v>12.943361732789947</v>
      </c>
    </row>
    <row r="16" spans="1:7" x14ac:dyDescent="0.3">
      <c r="A16" t="s">
        <v>17</v>
      </c>
      <c r="C16">
        <f>(B7*PI())*(((B8/2)+B5)^2-(B8/2)^2)</f>
        <v>0.19415042599184945</v>
      </c>
    </row>
    <row r="17" spans="1:3" x14ac:dyDescent="0.3">
      <c r="A17" t="s">
        <v>18</v>
      </c>
      <c r="C17">
        <f>((2*PI())*((B8/2)+B5)^2*(B5))</f>
        <v>5.2948402583602373E-2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A51E-F2A8-4BC4-B58B-B45B3B936C44}">
  <dimension ref="A3:G19"/>
  <sheetViews>
    <sheetView tabSelected="1" zoomScale="98" workbookViewId="0">
      <selection activeCell="D17" sqref="D17"/>
    </sheetView>
  </sheetViews>
  <sheetFormatPr baseColWidth="10" defaultRowHeight="14.4" x14ac:dyDescent="0.3"/>
  <cols>
    <col min="1" max="1" width="16.88671875" customWidth="1"/>
    <col min="4" max="4" width="17" customWidth="1"/>
  </cols>
  <sheetData>
    <row r="3" spans="1:7" x14ac:dyDescent="0.3">
      <c r="A3" t="s">
        <v>0</v>
      </c>
      <c r="D3" t="s">
        <v>8</v>
      </c>
    </row>
    <row r="4" spans="1:7" x14ac:dyDescent="0.3">
      <c r="A4" t="s">
        <v>1</v>
      </c>
      <c r="B4">
        <v>0.8</v>
      </c>
      <c r="D4" t="s">
        <v>9</v>
      </c>
      <c r="E4">
        <v>0.98284750865317028</v>
      </c>
    </row>
    <row r="5" spans="1:7" x14ac:dyDescent="0.3">
      <c r="A5" t="s">
        <v>2</v>
      </c>
      <c r="B5">
        <v>0.03</v>
      </c>
      <c r="D5" t="s">
        <v>10</v>
      </c>
      <c r="E5">
        <v>1.0544524183846486</v>
      </c>
    </row>
    <row r="6" spans="1:7" x14ac:dyDescent="0.3">
      <c r="A6" t="s">
        <v>3</v>
      </c>
      <c r="B6">
        <v>8000</v>
      </c>
    </row>
    <row r="7" spans="1:7" x14ac:dyDescent="0.3">
      <c r="A7" t="s">
        <v>4</v>
      </c>
      <c r="B7">
        <v>2</v>
      </c>
      <c r="D7" t="s">
        <v>11</v>
      </c>
    </row>
    <row r="8" spans="1:7" x14ac:dyDescent="0.3">
      <c r="A8" t="s">
        <v>5</v>
      </c>
      <c r="B8">
        <v>1</v>
      </c>
      <c r="D8" t="s">
        <v>9</v>
      </c>
      <c r="E8">
        <f>E4</f>
        <v>0.98284750865317028</v>
      </c>
      <c r="F8" t="s">
        <v>19</v>
      </c>
      <c r="G8">
        <v>1</v>
      </c>
    </row>
    <row r="9" spans="1:7" x14ac:dyDescent="0.3">
      <c r="A9" t="s">
        <v>6</v>
      </c>
      <c r="B9">
        <v>4.5</v>
      </c>
      <c r="D9" t="s">
        <v>10</v>
      </c>
      <c r="E9">
        <f>E5</f>
        <v>1.0544524183846486</v>
      </c>
      <c r="F9" t="s">
        <v>19</v>
      </c>
      <c r="G9">
        <v>2</v>
      </c>
    </row>
    <row r="10" spans="1:7" x14ac:dyDescent="0.3">
      <c r="A10" t="s">
        <v>7</v>
      </c>
      <c r="B10">
        <v>20</v>
      </c>
      <c r="D10" t="s">
        <v>12</v>
      </c>
      <c r="E10">
        <f>(PI()*E4^2*E5)/4</f>
        <v>0.79999845977674677</v>
      </c>
      <c r="F10" t="s">
        <v>20</v>
      </c>
      <c r="G10">
        <v>0.8</v>
      </c>
    </row>
    <row r="12" spans="1:7" x14ac:dyDescent="0.3">
      <c r="A12" t="s">
        <v>14</v>
      </c>
      <c r="D12" t="s">
        <v>13</v>
      </c>
    </row>
    <row r="13" spans="1:7" x14ac:dyDescent="0.3">
      <c r="A13" t="s">
        <v>15</v>
      </c>
      <c r="C13">
        <f>((E5*PI())*((((E4/2)+B5)^2-(E4/2)^2))+((2*PI())*((E4/2)+B5)^2*(B5)))*(B6)</f>
        <v>1215.2421559478471</v>
      </c>
      <c r="D13" t="s">
        <v>21</v>
      </c>
      <c r="E13" s="1">
        <f>(B9*C13)+(B10*C14)</f>
        <v>5723.1460451566336</v>
      </c>
    </row>
    <row r="14" spans="1:7" x14ac:dyDescent="0.3">
      <c r="A14" t="s">
        <v>16</v>
      </c>
      <c r="C14">
        <f>(4*PI())*(E4+B5)</f>
        <v>12.727817169566096</v>
      </c>
    </row>
    <row r="16" spans="1:7" x14ac:dyDescent="0.3">
      <c r="A16" t="s">
        <v>17</v>
      </c>
      <c r="C16">
        <f>(E5*PI())*(((E4/2)+B5)^2-(E4/2)^2)</f>
        <v>0.10065658196404981</v>
      </c>
    </row>
    <row r="17" spans="1:5" x14ac:dyDescent="0.3">
      <c r="A17" t="s">
        <v>18</v>
      </c>
      <c r="C17">
        <f>((2*PI())*((E4/2)+B5)^2*(B5))</f>
        <v>5.1248687529431083E-2</v>
      </c>
    </row>
    <row r="19" spans="1:5" x14ac:dyDescent="0.3">
      <c r="E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 con valores iniciales</vt:lpstr>
      <vt:lpstr>Funcion minimizada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HASSAN JUAREZ ARANDA</dc:creator>
  <cp:lastModifiedBy>REYNALDO HASSAN JUAREZ ARANDA</cp:lastModifiedBy>
  <dcterms:created xsi:type="dcterms:W3CDTF">2025-11-14T03:00:48Z</dcterms:created>
  <dcterms:modified xsi:type="dcterms:W3CDTF">2025-11-14T06:03:05Z</dcterms:modified>
</cp:coreProperties>
</file>